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sario/Documents/STUDIO DI MARCO 2021/ALLINEAMENTO CONTABILITA 2025/P0 - 2026/QUADRATURA CIPRIANO /"/>
    </mc:Choice>
  </mc:AlternateContent>
  <xr:revisionPtr revIDLastSave="0" documentId="13_ncr:1_{2AC4E3C1-380E-E944-9575-05913847D16A}" xr6:coauthVersionLast="47" xr6:coauthVersionMax="47" xr10:uidLastSave="{00000000-0000-0000-0000-000000000000}"/>
  <bookViews>
    <workbookView xWindow="960" yWindow="600" windowWidth="24920" windowHeight="24520" xr2:uid="{A7790F81-74C7-DF4C-9923-9BF5174C89ED}"/>
  </bookViews>
  <sheets>
    <sheet name="Foglio2" sheetId="2" r:id="rId1"/>
    <sheet name="Foglio1" sheetId="1" r:id="rId2"/>
    <sheet name="Foglio3" sheetId="3" r:id="rId3"/>
  </sheets>
  <definedNames>
    <definedName name="bonifici_Cipriano_Alessandro" localSheetId="0">Foglio2!#REF!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/>
  <c r="E6" i="2"/>
  <c r="E7" i="2"/>
  <c r="E8" i="2"/>
  <c r="E9" i="2"/>
  <c r="E10" i="2"/>
  <c r="E11" i="2"/>
  <c r="E12" i="2"/>
  <c r="E13" i="2"/>
  <c r="E14" i="2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3" i="2"/>
  <c r="K6" i="3"/>
  <c r="I6" i="3"/>
  <c r="I1" i="3"/>
  <c r="F7" i="3"/>
  <c r="E2" i="2"/>
  <c r="N39" i="1"/>
  <c r="N31" i="1"/>
  <c r="L3" i="1"/>
  <c r="N3" i="1" s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F7" i="1"/>
  <c r="D3" i="1"/>
  <c r="D4" i="1" s="1"/>
  <c r="D5" i="1" s="1"/>
  <c r="D6" i="1" s="1"/>
  <c r="D7" i="1" s="1"/>
  <c r="D8" i="1" s="1"/>
  <c r="D9" i="1" s="1"/>
  <c r="O39" i="1" l="1"/>
  <c r="G9" i="1"/>
  <c r="D10" i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</calcChain>
</file>

<file path=xl/sharedStrings.xml><?xml version="1.0" encoding="utf-8"?>
<sst xmlns="http://schemas.openxmlformats.org/spreadsheetml/2006/main" count="145" uniqueCount="91">
  <si>
    <t>fattura 369 del 08/10/2025</t>
  </si>
  <si>
    <t>pagamento</t>
  </si>
  <si>
    <t>Fattura 11.12.2025 455</t>
  </si>
  <si>
    <t>fatura 14.01.2026</t>
  </si>
  <si>
    <t>BONIFICO  10 GENNAIO 2026</t>
  </si>
  <si>
    <t>BONIFIC EFFETTUATI NEL 2025</t>
  </si>
  <si>
    <t>RIPORTO</t>
  </si>
  <si>
    <t>BONIFICI 2025</t>
  </si>
  <si>
    <t>FATTURA GEN N. 29</t>
  </si>
  <si>
    <t>FATTURA FEB 2025 N. 71</t>
  </si>
  <si>
    <t>FATTURA  MAG 2025 N. 48</t>
  </si>
  <si>
    <t>FATTURA  MAG 2025 N. 196</t>
  </si>
  <si>
    <t>FATTURA  GIU 2025 N. 208</t>
  </si>
  <si>
    <t>LUGLIO</t>
  </si>
  <si>
    <t>AGOSTO</t>
  </si>
  <si>
    <t>59/2026 10/02/2026 € 52,00</t>
  </si>
  <si>
    <t>25/2026 14/01/2026 € 213,20</t>
  </si>
  <si>
    <t>455/2025 11/12/2025 € 130,00</t>
  </si>
  <si>
    <t>424/2025 14/11/2025 € 178,00</t>
  </si>
  <si>
    <t>369/2025 08/10/2025 € 178,00</t>
  </si>
  <si>
    <t>BONIFICO GENNAIO 2026</t>
  </si>
  <si>
    <t>PROSPETTO CIPRIANO AL 16/02/2026</t>
  </si>
  <si>
    <t>FATTURA 106/2026</t>
  </si>
  <si>
    <t>BONIFICO DEL 29/03/2026</t>
  </si>
  <si>
    <t>PAGATO</t>
  </si>
  <si>
    <t>BONIFICO DEL 24/04/2026</t>
  </si>
  <si>
    <t>DITTA CIPRIANO ALESSANDRO IT87P0538704601000035220542</t>
  </si>
  <si>
    <t>Cipriano Alessandro IT87P0538704601000035220542</t>
  </si>
  <si>
    <t>PROFORMA 105</t>
  </si>
  <si>
    <t>PROFORMA 29</t>
  </si>
  <si>
    <t>PROFORMA 71</t>
  </si>
  <si>
    <t xml:space="preserve">FORFORMA  196 </t>
  </si>
  <si>
    <t>PROFORMA 208</t>
  </si>
  <si>
    <t>PROFORMA 266</t>
  </si>
  <si>
    <t>PROFORMA 297</t>
  </si>
  <si>
    <t>PROFORMA 328</t>
  </si>
  <si>
    <t>PROFORMA 369</t>
  </si>
  <si>
    <t>PROFORMA 455</t>
  </si>
  <si>
    <t>PROFORMA 25</t>
  </si>
  <si>
    <t>PROFORMA 33</t>
  </si>
  <si>
    <t>PROFORMA 233</t>
  </si>
  <si>
    <t>PROFORMA 269</t>
  </si>
  <si>
    <t>PROFORMA 305</t>
  </si>
  <si>
    <t>PROFORMA 338</t>
  </si>
  <si>
    <t>PARCELLA  182</t>
  </si>
  <si>
    <t>PARCELLA  224</t>
  </si>
  <si>
    <t>PARCELLA  246</t>
  </si>
  <si>
    <t>PARCELLA  320</t>
  </si>
  <si>
    <t>PARCELLA  367</t>
  </si>
  <si>
    <t>PARCELLA 419</t>
  </si>
  <si>
    <t>PARCELLA  471</t>
  </si>
  <si>
    <t>PROFORMA 34</t>
  </si>
  <si>
    <t>PROFORMA 73</t>
  </si>
  <si>
    <t>PROFORMA 165</t>
  </si>
  <si>
    <t>PROFORMA 207</t>
  </si>
  <si>
    <t>PROFORMA 250</t>
  </si>
  <si>
    <t>PROFORMA 291</t>
  </si>
  <si>
    <t>PROFORMA 411</t>
  </si>
  <si>
    <t>PROFORMA 457</t>
  </si>
  <si>
    <t>PROFORMA 197</t>
  </si>
  <si>
    <t>PROFORMA 234</t>
  </si>
  <si>
    <t>PROFORMA 277</t>
  </si>
  <si>
    <t>PROFORMA 366</t>
  </si>
  <si>
    <t>Studio Cipriano di Cipriano Alessandro  IT87P0538704601000035220542</t>
  </si>
  <si>
    <t>BOIFICO BPSA</t>
  </si>
  <si>
    <t>BONIFICO BPSA</t>
  </si>
  <si>
    <t>BONIFICO DOLCEMASCOLO</t>
  </si>
  <si>
    <t>Studio Cipriano di Cipriano Alessandro</t>
  </si>
  <si>
    <t>BONIFICOBPSA</t>
  </si>
  <si>
    <t>BONIFICO SUM UP C9VYN7GQ3E</t>
  </si>
  <si>
    <t>BONIFICO SUM UP C9Q6QK6EG7</t>
  </si>
  <si>
    <t>BONIFICO SUM UP COJ5KPMLEQ</t>
  </si>
  <si>
    <t>BONIFICO SUM UP C9XLMJ5RKJ</t>
  </si>
  <si>
    <t>BONIFICO SUM UP CDMJGJQKP2</t>
  </si>
  <si>
    <t>BONIFICO SUM UP CDMJ7QLVMV</t>
  </si>
  <si>
    <t>BONIFICO SUM UP COGYPVN3ZP</t>
  </si>
  <si>
    <t>BONIFICO SUM UP C96Y32Y3WM</t>
  </si>
  <si>
    <t>BONIFICO SUM UP CD65ZVER7V</t>
  </si>
  <si>
    <t>BONIFICO SUM UP C9RB6GBGEJ</t>
  </si>
  <si>
    <t>BONIFICO SUM UP C9QZJ6E72Q</t>
  </si>
  <si>
    <t>BONIFICO SUM UP CO45G4PYPJ</t>
  </si>
  <si>
    <t>BONIFICO SUM UP CD55RW27VK</t>
  </si>
  <si>
    <t>BONIFICO SUM UP COKKPLBBWZ</t>
  </si>
  <si>
    <t>BONIFICO SUM UP COZR5QGPB3</t>
  </si>
  <si>
    <t>BONIFICO SUM UP C9KMK3NNK3</t>
  </si>
  <si>
    <t>BONIFICO SUM UP C9KMK3N7BW</t>
  </si>
  <si>
    <t>BONIFICO SUM UP CO4B2KLJWK</t>
  </si>
  <si>
    <t>DATA</t>
  </si>
  <si>
    <t>DESCRIZIONE</t>
  </si>
  <si>
    <t>IMPORTO</t>
  </si>
  <si>
    <t>SALDO PRGRESSIVO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</si>
</sst>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€_-;\-* #,##0.00\ _€_-;_-* &quot;-&quot;??\ _€_-;_-@_-"/>
    <numFmt numFmtId="165" formatCode="dd/mm/yyyy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i/>
      <sz val="11"/>
      <color rgb="FF404040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43" fontId="0" fillId="0" borderId="0" xfId="1" applyFont="1"/>
    <xf numFmtId="0" fontId="0" fillId="0" borderId="1" xfId="0" applyBorder="1"/>
    <xf numFmtId="43" fontId="0" fillId="0" borderId="1" xfId="1" applyFont="1" applyBorder="1"/>
    <xf numFmtId="164" fontId="0" fillId="0" borderId="0" xfId="0" applyNumberFormat="1"/>
    <xf numFmtId="43" fontId="0" fillId="0" borderId="0" xfId="0" applyNumberFormat="1"/>
    <xf numFmtId="0" fontId="3" fillId="0" borderId="1" xfId="0" applyFont="1" applyBorder="1"/>
    <xf numFmtId="164" fontId="2" fillId="0" borderId="1" xfId="0" applyNumberFormat="1" applyFont="1" applyBorder="1"/>
    <xf numFmtId="14" fontId="0" fillId="0" borderId="0" xfId="1" applyNumberFormat="1" applyFont="1"/>
    <xf numFmtId="165" fontId="0" fillId="0" borderId="0" xfId="0" applyNumberFormat="1"/>
    <xf numFmtId="165" fontId="0" fillId="0" borderId="1" xfId="0" applyNumberFormat="1" applyBorder="1"/>
    <xf numFmtId="43" fontId="0" fillId="0" borderId="1" xfId="1" applyFont="1" applyFill="1" applyBorder="1"/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8111B-6BD8-8149-81CA-0FCFFA89C1CB}">
  <dimension ref="A1:M68"/>
  <sheetViews>
    <sheetView tabSelected="1" topLeftCell="A32" workbookViewId="0">
      <selection activeCell="B72" sqref="B72"/>
    </sheetView>
  </sheetViews>
  <sheetFormatPr baseColWidth="10" defaultRowHeight="15"/>
  <cols>
    <col min="1" max="1" width="14.5" customWidth="1"/>
    <col min="2" max="2" width="42.1640625" customWidth="1"/>
    <col min="3" max="3" width="51.83203125" bestFit="1" customWidth="1"/>
    <col min="4" max="4" width="17" style="1" customWidth="1"/>
    <col min="5" max="5" width="17.6640625" style="1" bestFit="1" customWidth="1"/>
    <col min="10" max="10" width="15.83203125" customWidth="1"/>
    <col min="12" max="12" width="13.5" customWidth="1"/>
    <col min="13" max="13" width="17" style="1" customWidth="1"/>
  </cols>
  <sheetData>
    <row r="1" spans="1:10">
      <c r="A1" t="s">
        <v>87</v>
      </c>
      <c r="C1" t="s">
        <v>88</v>
      </c>
      <c r="D1" s="1" t="s">
        <v>89</v>
      </c>
      <c r="E1" s="1" t="s">
        <v>90</v>
      </c>
    </row>
    <row r="2" spans="1:10">
      <c r="A2" s="10">
        <v>44363</v>
      </c>
      <c r="B2" s="6" t="s">
        <v>44</v>
      </c>
      <c r="C2" s="2"/>
      <c r="D2" s="3">
        <v>130</v>
      </c>
      <c r="E2" s="3">
        <f>D2</f>
        <v>130</v>
      </c>
      <c r="J2" s="9"/>
    </row>
    <row r="3" spans="1:10">
      <c r="A3" s="10">
        <v>44386</v>
      </c>
      <c r="B3" s="6" t="s">
        <v>66</v>
      </c>
      <c r="C3" s="2" t="s">
        <v>67</v>
      </c>
      <c r="D3" s="3">
        <v>-130</v>
      </c>
      <c r="E3" s="3">
        <f>E2+D3</f>
        <v>0</v>
      </c>
      <c r="J3" s="9"/>
    </row>
    <row r="4" spans="1:10">
      <c r="A4" s="10">
        <v>44393</v>
      </c>
      <c r="B4" s="6" t="s">
        <v>45</v>
      </c>
      <c r="C4" s="2"/>
      <c r="D4" s="3">
        <v>196.14</v>
      </c>
      <c r="E4" s="3">
        <f t="shared" ref="E4:E67" si="0">E3+D4</f>
        <v>196.14</v>
      </c>
      <c r="J4" s="9"/>
    </row>
    <row r="5" spans="1:10">
      <c r="A5" s="10">
        <v>44411</v>
      </c>
      <c r="B5" s="6" t="s">
        <v>46</v>
      </c>
      <c r="C5" s="2"/>
      <c r="D5" s="3">
        <v>212.78</v>
      </c>
      <c r="E5" s="3">
        <f t="shared" si="0"/>
        <v>408.91999999999996</v>
      </c>
      <c r="J5" s="9"/>
    </row>
    <row r="6" spans="1:10">
      <c r="A6" s="10">
        <v>44425</v>
      </c>
      <c r="B6" s="6" t="s">
        <v>65</v>
      </c>
      <c r="C6" s="2" t="s">
        <v>67</v>
      </c>
      <c r="D6" s="3">
        <v>-196.14</v>
      </c>
      <c r="E6" s="3">
        <f t="shared" si="0"/>
        <v>212.77999999999997</v>
      </c>
      <c r="J6" s="9"/>
    </row>
    <row r="7" spans="1:10">
      <c r="A7" s="10">
        <v>44438</v>
      </c>
      <c r="B7" s="6" t="s">
        <v>65</v>
      </c>
      <c r="C7" s="2" t="s">
        <v>67</v>
      </c>
      <c r="D7" s="3">
        <v>-212.78</v>
      </c>
      <c r="E7" s="3">
        <f t="shared" si="0"/>
        <v>0</v>
      </c>
      <c r="J7" s="9"/>
    </row>
    <row r="8" spans="1:10">
      <c r="A8" s="10">
        <v>44451</v>
      </c>
      <c r="B8" s="6" t="s">
        <v>47</v>
      </c>
      <c r="C8" s="2"/>
      <c r="D8" s="3">
        <v>196.14</v>
      </c>
      <c r="E8" s="3">
        <f t="shared" si="0"/>
        <v>196.14</v>
      </c>
      <c r="J8" s="9"/>
    </row>
    <row r="9" spans="1:10">
      <c r="A9" s="10">
        <v>44483</v>
      </c>
      <c r="B9" s="6" t="s">
        <v>48</v>
      </c>
      <c r="C9" s="2"/>
      <c r="D9" s="3">
        <v>78</v>
      </c>
      <c r="E9" s="3">
        <f t="shared" si="0"/>
        <v>274.14</v>
      </c>
      <c r="J9" s="9"/>
    </row>
    <row r="10" spans="1:10">
      <c r="A10" s="10">
        <v>44488</v>
      </c>
      <c r="B10" s="6" t="s">
        <v>65</v>
      </c>
      <c r="C10" s="2" t="s">
        <v>67</v>
      </c>
      <c r="D10" s="3">
        <v>-274.14</v>
      </c>
      <c r="E10" s="3">
        <f t="shared" si="0"/>
        <v>0</v>
      </c>
      <c r="F10" s="4"/>
      <c r="J10" s="9"/>
    </row>
    <row r="11" spans="1:10">
      <c r="A11" s="10">
        <v>44515</v>
      </c>
      <c r="B11" s="6" t="s">
        <v>49</v>
      </c>
      <c r="C11" s="2"/>
      <c r="D11" s="3">
        <v>218.19</v>
      </c>
      <c r="E11" s="3">
        <f t="shared" si="0"/>
        <v>218.19</v>
      </c>
      <c r="J11" s="9"/>
    </row>
    <row r="12" spans="1:10">
      <c r="A12" s="10">
        <v>44540</v>
      </c>
      <c r="B12" s="6" t="s">
        <v>50</v>
      </c>
      <c r="C12" s="2"/>
      <c r="D12" s="3">
        <v>218.19</v>
      </c>
      <c r="E12" s="3">
        <f t="shared" si="0"/>
        <v>436.38</v>
      </c>
      <c r="J12" s="9"/>
    </row>
    <row r="13" spans="1:10">
      <c r="A13" s="10">
        <v>44578</v>
      </c>
      <c r="B13" s="6" t="s">
        <v>51</v>
      </c>
      <c r="C13" s="2"/>
      <c r="D13" s="3">
        <v>232.34</v>
      </c>
      <c r="E13" s="3">
        <f t="shared" si="0"/>
        <v>668.72</v>
      </c>
      <c r="J13" s="9"/>
    </row>
    <row r="14" spans="1:10">
      <c r="A14" s="10">
        <v>44601</v>
      </c>
      <c r="B14" s="6" t="s">
        <v>52</v>
      </c>
      <c r="C14" s="2"/>
      <c r="D14" s="3">
        <v>174.1</v>
      </c>
      <c r="E14" s="3">
        <f t="shared" si="0"/>
        <v>842.82</v>
      </c>
      <c r="J14" s="9"/>
    </row>
    <row r="15" spans="1:10">
      <c r="A15" s="10">
        <v>44657</v>
      </c>
      <c r="B15" s="6" t="s">
        <v>64</v>
      </c>
      <c r="C15" s="2" t="s">
        <v>67</v>
      </c>
      <c r="D15" s="3">
        <v>-300</v>
      </c>
      <c r="E15" s="3">
        <f t="shared" si="0"/>
        <v>542.82000000000005</v>
      </c>
      <c r="J15" s="9"/>
    </row>
    <row r="16" spans="1:10">
      <c r="A16" s="10">
        <v>44662</v>
      </c>
      <c r="B16" s="6" t="s">
        <v>53</v>
      </c>
      <c r="C16" s="2"/>
      <c r="D16" s="3">
        <v>131.1</v>
      </c>
      <c r="E16" s="3">
        <f t="shared" si="0"/>
        <v>673.92000000000007</v>
      </c>
      <c r="J16" s="9"/>
    </row>
    <row r="17" spans="1:10">
      <c r="A17" s="10">
        <v>44695</v>
      </c>
      <c r="B17" s="6" t="s">
        <v>54</v>
      </c>
      <c r="C17" s="2"/>
      <c r="D17" s="3">
        <v>151.84</v>
      </c>
      <c r="E17" s="3">
        <f t="shared" si="0"/>
        <v>825.7600000000001</v>
      </c>
      <c r="J17" s="9"/>
    </row>
    <row r="18" spans="1:10">
      <c r="A18" s="10">
        <v>44707</v>
      </c>
      <c r="B18" s="6" t="s">
        <v>68</v>
      </c>
      <c r="C18" s="2" t="s">
        <v>67</v>
      </c>
      <c r="D18" s="3">
        <v>-300</v>
      </c>
      <c r="E18" s="3">
        <f t="shared" si="0"/>
        <v>525.7600000000001</v>
      </c>
      <c r="J18" s="9"/>
    </row>
    <row r="19" spans="1:10">
      <c r="A19" s="10">
        <v>44726</v>
      </c>
      <c r="B19" s="6" t="s">
        <v>55</v>
      </c>
      <c r="C19" s="2"/>
      <c r="D19" s="3">
        <v>159.94999999999999</v>
      </c>
      <c r="E19" s="3">
        <f t="shared" si="0"/>
        <v>685.71</v>
      </c>
      <c r="J19" s="9"/>
    </row>
    <row r="20" spans="1:10">
      <c r="A20" s="10">
        <v>44753</v>
      </c>
      <c r="B20" s="6" t="s">
        <v>56</v>
      </c>
      <c r="C20" s="2"/>
      <c r="D20" s="11">
        <v>195.52</v>
      </c>
      <c r="E20" s="3">
        <f t="shared" si="0"/>
        <v>881.23</v>
      </c>
      <c r="J20" s="9"/>
    </row>
    <row r="21" spans="1:10">
      <c r="A21" s="10">
        <v>44770</v>
      </c>
      <c r="B21" s="6" t="s">
        <v>65</v>
      </c>
      <c r="C21" s="2" t="s">
        <v>67</v>
      </c>
      <c r="D21" s="11">
        <v>-1000</v>
      </c>
      <c r="E21" s="3">
        <f t="shared" si="0"/>
        <v>-118.76999999999998</v>
      </c>
      <c r="J21" s="9"/>
    </row>
    <row r="22" spans="1:10">
      <c r="A22" s="10">
        <v>44818</v>
      </c>
      <c r="B22" s="6" t="s">
        <v>36</v>
      </c>
      <c r="C22" s="2"/>
      <c r="D22" s="11">
        <v>282.88</v>
      </c>
      <c r="E22" s="3">
        <f t="shared" si="0"/>
        <v>164.11</v>
      </c>
      <c r="J22" s="9"/>
    </row>
    <row r="23" spans="1:10">
      <c r="A23" s="10">
        <v>44846</v>
      </c>
      <c r="B23" s="6" t="s">
        <v>57</v>
      </c>
      <c r="C23" s="2"/>
      <c r="D23" s="11">
        <v>282.88</v>
      </c>
      <c r="E23" s="3">
        <f t="shared" si="0"/>
        <v>446.99</v>
      </c>
      <c r="J23" s="9"/>
    </row>
    <row r="24" spans="1:10">
      <c r="A24" s="10">
        <v>44876</v>
      </c>
      <c r="B24" s="6" t="s">
        <v>58</v>
      </c>
      <c r="C24" s="2"/>
      <c r="D24" s="11">
        <v>266.24</v>
      </c>
      <c r="E24" s="3">
        <f t="shared" si="0"/>
        <v>713.23</v>
      </c>
      <c r="J24" s="9"/>
    </row>
    <row r="25" spans="1:10">
      <c r="A25" s="10">
        <v>44940</v>
      </c>
      <c r="B25" s="6" t="s">
        <v>51</v>
      </c>
      <c r="C25" s="2"/>
      <c r="D25" s="11">
        <v>273.52</v>
      </c>
      <c r="E25" s="3">
        <f t="shared" si="0"/>
        <v>986.75</v>
      </c>
      <c r="J25" s="9"/>
    </row>
    <row r="26" spans="1:10">
      <c r="A26" s="10">
        <v>45043</v>
      </c>
      <c r="B26" s="2" t="s">
        <v>69</v>
      </c>
      <c r="C26" s="2" t="s">
        <v>63</v>
      </c>
      <c r="D26" s="3">
        <v>-450</v>
      </c>
      <c r="E26" s="3">
        <f t="shared" si="0"/>
        <v>536.75</v>
      </c>
      <c r="J26" s="9"/>
    </row>
    <row r="27" spans="1:10">
      <c r="A27" s="10">
        <v>45062</v>
      </c>
      <c r="B27" s="6" t="s">
        <v>53</v>
      </c>
      <c r="C27" s="2"/>
      <c r="D27" s="11">
        <v>663.52</v>
      </c>
      <c r="E27" s="3">
        <f t="shared" si="0"/>
        <v>1200.27</v>
      </c>
    </row>
    <row r="28" spans="1:10">
      <c r="A28" s="10">
        <v>45092</v>
      </c>
      <c r="B28" s="6" t="s">
        <v>59</v>
      </c>
      <c r="C28" s="2"/>
      <c r="D28" s="11">
        <v>104</v>
      </c>
      <c r="E28" s="3">
        <f t="shared" si="0"/>
        <v>1304.27</v>
      </c>
    </row>
    <row r="29" spans="1:10">
      <c r="A29" s="10">
        <v>45123</v>
      </c>
      <c r="B29" s="6" t="s">
        <v>60</v>
      </c>
      <c r="C29" s="2"/>
      <c r="D29" s="11">
        <v>130</v>
      </c>
      <c r="E29" s="3">
        <f t="shared" si="0"/>
        <v>1434.27</v>
      </c>
    </row>
    <row r="30" spans="1:10">
      <c r="A30" s="10">
        <v>45154</v>
      </c>
      <c r="B30" s="6" t="s">
        <v>61</v>
      </c>
      <c r="C30" s="2"/>
      <c r="D30" s="11">
        <v>196.56</v>
      </c>
      <c r="E30" s="3">
        <f t="shared" si="0"/>
        <v>1630.83</v>
      </c>
    </row>
    <row r="31" spans="1:10">
      <c r="A31" s="10">
        <v>45177</v>
      </c>
      <c r="B31" s="2" t="s">
        <v>70</v>
      </c>
      <c r="C31" s="2" t="s">
        <v>63</v>
      </c>
      <c r="D31" s="3">
        <v>-1000</v>
      </c>
      <c r="E31" s="3">
        <f t="shared" si="0"/>
        <v>630.82999999999993</v>
      </c>
    </row>
    <row r="32" spans="1:10">
      <c r="A32" s="10">
        <v>45215</v>
      </c>
      <c r="B32" s="6" t="s">
        <v>62</v>
      </c>
      <c r="C32" s="2"/>
      <c r="D32" s="11">
        <v>286</v>
      </c>
      <c r="E32" s="3">
        <f t="shared" si="0"/>
        <v>916.82999999999993</v>
      </c>
    </row>
    <row r="33" spans="1:5">
      <c r="A33" s="10">
        <v>45307</v>
      </c>
      <c r="B33" s="6" t="s">
        <v>39</v>
      </c>
      <c r="C33" s="6"/>
      <c r="D33" s="3">
        <v>482.56</v>
      </c>
      <c r="E33" s="3">
        <f t="shared" si="0"/>
        <v>1399.3899999999999</v>
      </c>
    </row>
    <row r="34" spans="1:5">
      <c r="A34" s="10">
        <v>45365</v>
      </c>
      <c r="B34" s="2" t="s">
        <v>71</v>
      </c>
      <c r="C34" s="2" t="s">
        <v>63</v>
      </c>
      <c r="D34" s="3">
        <v>-130</v>
      </c>
      <c r="E34" s="3">
        <f t="shared" si="0"/>
        <v>1269.3899999999999</v>
      </c>
    </row>
    <row r="35" spans="1:5">
      <c r="A35" s="10">
        <v>45397</v>
      </c>
      <c r="B35" s="2" t="s">
        <v>72</v>
      </c>
      <c r="C35" s="2" t="s">
        <v>63</v>
      </c>
      <c r="D35" s="3">
        <v>-150</v>
      </c>
      <c r="E35" s="3">
        <f t="shared" si="0"/>
        <v>1119.3899999999999</v>
      </c>
    </row>
    <row r="36" spans="1:5">
      <c r="A36" s="10">
        <v>45486</v>
      </c>
      <c r="B36" s="2" t="s">
        <v>73</v>
      </c>
      <c r="C36" s="2" t="s">
        <v>63</v>
      </c>
      <c r="D36" s="3">
        <v>-500</v>
      </c>
      <c r="E36" s="3">
        <f t="shared" si="0"/>
        <v>619.38999999999987</v>
      </c>
    </row>
    <row r="37" spans="1:5">
      <c r="A37" s="10">
        <v>45514</v>
      </c>
      <c r="B37" s="6" t="s">
        <v>40</v>
      </c>
      <c r="C37" s="6"/>
      <c r="D37" s="3">
        <v>1202.24</v>
      </c>
      <c r="E37" s="3">
        <f t="shared" si="0"/>
        <v>1821.6299999999999</v>
      </c>
    </row>
    <row r="38" spans="1:5">
      <c r="A38" s="10">
        <v>45544</v>
      </c>
      <c r="B38" s="2" t="s">
        <v>74</v>
      </c>
      <c r="C38" s="2" t="s">
        <v>27</v>
      </c>
      <c r="D38" s="3">
        <v>-1233.1300000000001</v>
      </c>
      <c r="E38" s="3">
        <f t="shared" si="0"/>
        <v>588.49999999999977</v>
      </c>
    </row>
    <row r="39" spans="1:5">
      <c r="A39" s="10">
        <v>45544</v>
      </c>
      <c r="B39" s="2" t="s">
        <v>65</v>
      </c>
      <c r="C39" s="2" t="s">
        <v>67</v>
      </c>
      <c r="D39" s="3">
        <v>-500</v>
      </c>
      <c r="E39" s="3">
        <f t="shared" si="0"/>
        <v>88.499999999999773</v>
      </c>
    </row>
    <row r="40" spans="1:5">
      <c r="A40" s="10">
        <v>45578</v>
      </c>
      <c r="B40" s="6" t="s">
        <v>41</v>
      </c>
      <c r="C40" s="6"/>
      <c r="D40" s="3">
        <v>173.68</v>
      </c>
      <c r="E40" s="3">
        <f t="shared" si="0"/>
        <v>262.17999999999978</v>
      </c>
    </row>
    <row r="41" spans="1:5">
      <c r="A41" s="10">
        <v>45610</v>
      </c>
      <c r="B41" s="6" t="s">
        <v>42</v>
      </c>
      <c r="C41" s="6"/>
      <c r="D41" s="3">
        <v>277.68</v>
      </c>
      <c r="E41" s="3">
        <f t="shared" si="0"/>
        <v>539.85999999999979</v>
      </c>
    </row>
    <row r="42" spans="1:5">
      <c r="A42" s="10">
        <v>45640</v>
      </c>
      <c r="B42" s="6" t="s">
        <v>43</v>
      </c>
      <c r="C42" s="6"/>
      <c r="D42" s="3">
        <v>130</v>
      </c>
      <c r="E42" s="3">
        <f t="shared" si="0"/>
        <v>669.85999999999979</v>
      </c>
    </row>
    <row r="43" spans="1:5">
      <c r="A43" s="10">
        <v>45664</v>
      </c>
      <c r="B43" s="2" t="s">
        <v>75</v>
      </c>
      <c r="C43" s="2" t="s">
        <v>27</v>
      </c>
      <c r="D43" s="3">
        <v>-277.68</v>
      </c>
      <c r="E43" s="3">
        <f t="shared" si="0"/>
        <v>392.17999999999978</v>
      </c>
    </row>
    <row r="44" spans="1:5">
      <c r="A44" s="10">
        <v>45671</v>
      </c>
      <c r="B44" s="3" t="s">
        <v>29</v>
      </c>
      <c r="C44" s="3"/>
      <c r="D44" s="3">
        <v>213.29</v>
      </c>
      <c r="E44" s="3">
        <f t="shared" si="0"/>
        <v>605.4699999999998</v>
      </c>
    </row>
    <row r="45" spans="1:5">
      <c r="A45" s="10">
        <v>45700</v>
      </c>
      <c r="B45" s="3" t="s">
        <v>30</v>
      </c>
      <c r="C45" s="3"/>
      <c r="D45" s="3">
        <v>104</v>
      </c>
      <c r="E45" s="3">
        <f t="shared" si="0"/>
        <v>709.4699999999998</v>
      </c>
    </row>
    <row r="46" spans="1:5">
      <c r="A46" s="10">
        <v>45731</v>
      </c>
      <c r="B46" s="3" t="s">
        <v>28</v>
      </c>
      <c r="C46" s="3"/>
      <c r="D46" s="3">
        <v>253.76</v>
      </c>
      <c r="E46" s="3">
        <f t="shared" si="0"/>
        <v>963.22999999999979</v>
      </c>
    </row>
    <row r="47" spans="1:5">
      <c r="A47" s="10">
        <v>45758</v>
      </c>
      <c r="B47" s="2" t="s">
        <v>76</v>
      </c>
      <c r="C47" s="2" t="s">
        <v>27</v>
      </c>
      <c r="D47" s="3">
        <v>-317</v>
      </c>
      <c r="E47" s="3">
        <f t="shared" si="0"/>
        <v>646.22999999999979</v>
      </c>
    </row>
    <row r="48" spans="1:5">
      <c r="A48" s="10">
        <v>45789</v>
      </c>
      <c r="B48" s="2" t="s">
        <v>77</v>
      </c>
      <c r="C48" s="2" t="s">
        <v>27</v>
      </c>
      <c r="D48" s="3">
        <v>-385.76</v>
      </c>
      <c r="E48" s="3">
        <f t="shared" si="0"/>
        <v>260.4699999999998</v>
      </c>
    </row>
    <row r="49" spans="1:5">
      <c r="A49" s="10">
        <v>45790</v>
      </c>
      <c r="B49" s="3" t="s">
        <v>31</v>
      </c>
      <c r="C49" s="3"/>
      <c r="D49" s="3">
        <v>156</v>
      </c>
      <c r="E49" s="3">
        <f t="shared" si="0"/>
        <v>416.4699999999998</v>
      </c>
    </row>
    <row r="50" spans="1:5">
      <c r="A50" s="10">
        <v>45813</v>
      </c>
      <c r="B50" s="3" t="s">
        <v>32</v>
      </c>
      <c r="C50" s="3"/>
      <c r="D50" s="3">
        <v>150</v>
      </c>
      <c r="E50" s="3">
        <f t="shared" si="0"/>
        <v>566.4699999999998</v>
      </c>
    </row>
    <row r="51" spans="1:5">
      <c r="A51" s="10">
        <v>45813</v>
      </c>
      <c r="B51" s="2" t="s">
        <v>78</v>
      </c>
      <c r="C51" s="2" t="s">
        <v>27</v>
      </c>
      <c r="D51" s="3">
        <v>-286</v>
      </c>
      <c r="E51" s="3">
        <f t="shared" si="0"/>
        <v>280.4699999999998</v>
      </c>
    </row>
    <row r="52" spans="1:5">
      <c r="A52" s="10">
        <v>45846</v>
      </c>
      <c r="B52" s="3" t="s">
        <v>33</v>
      </c>
      <c r="C52" s="3"/>
      <c r="D52" s="3">
        <v>243</v>
      </c>
      <c r="E52" s="3">
        <f t="shared" si="0"/>
        <v>523.4699999999998</v>
      </c>
    </row>
    <row r="53" spans="1:5">
      <c r="A53" s="10">
        <v>45849</v>
      </c>
      <c r="B53" s="2" t="s">
        <v>79</v>
      </c>
      <c r="C53" s="2" t="s">
        <v>27</v>
      </c>
      <c r="D53" s="3">
        <v>-243</v>
      </c>
      <c r="E53" s="3">
        <f t="shared" si="0"/>
        <v>280.4699999999998</v>
      </c>
    </row>
    <row r="54" spans="1:5">
      <c r="A54" s="10">
        <v>45876</v>
      </c>
      <c r="B54" s="3" t="s">
        <v>34</v>
      </c>
      <c r="C54" s="3"/>
      <c r="D54" s="3">
        <v>333</v>
      </c>
      <c r="E54" s="3">
        <f t="shared" si="0"/>
        <v>613.4699999999998</v>
      </c>
    </row>
    <row r="55" spans="1:5">
      <c r="A55" s="10">
        <v>45890</v>
      </c>
      <c r="B55" s="2" t="s">
        <v>80</v>
      </c>
      <c r="C55" s="2" t="s">
        <v>27</v>
      </c>
      <c r="D55" s="3">
        <v>-333</v>
      </c>
      <c r="E55" s="3">
        <f t="shared" si="0"/>
        <v>280.4699999999998</v>
      </c>
    </row>
    <row r="56" spans="1:5">
      <c r="A56" s="10">
        <v>45910</v>
      </c>
      <c r="B56" s="3" t="s">
        <v>35</v>
      </c>
      <c r="C56" s="3"/>
      <c r="D56" s="3">
        <v>356</v>
      </c>
      <c r="E56" s="3">
        <f t="shared" si="0"/>
        <v>636.4699999999998</v>
      </c>
    </row>
    <row r="57" spans="1:5">
      <c r="A57" s="10">
        <v>45924</v>
      </c>
      <c r="B57" s="2" t="s">
        <v>81</v>
      </c>
      <c r="C57" s="2" t="s">
        <v>27</v>
      </c>
      <c r="D57" s="3">
        <v>-512</v>
      </c>
      <c r="E57" s="3">
        <f t="shared" si="0"/>
        <v>124.4699999999998</v>
      </c>
    </row>
    <row r="58" spans="1:5">
      <c r="A58" s="10">
        <v>45938</v>
      </c>
      <c r="B58" s="2" t="s">
        <v>0</v>
      </c>
      <c r="C58" s="3"/>
      <c r="D58" s="3">
        <v>178</v>
      </c>
      <c r="E58" s="3">
        <f t="shared" si="0"/>
        <v>302.4699999999998</v>
      </c>
    </row>
    <row r="59" spans="1:5">
      <c r="A59" s="10">
        <v>45938</v>
      </c>
      <c r="B59" s="6" t="s">
        <v>36</v>
      </c>
      <c r="C59" s="3"/>
      <c r="D59" s="3">
        <v>178</v>
      </c>
      <c r="E59" s="3">
        <f t="shared" si="0"/>
        <v>480.4699999999998</v>
      </c>
    </row>
    <row r="60" spans="1:5">
      <c r="A60" s="10">
        <v>45957</v>
      </c>
      <c r="B60" s="2" t="s">
        <v>82</v>
      </c>
      <c r="C60" s="2" t="s">
        <v>27</v>
      </c>
      <c r="D60" s="3">
        <v>-455.53</v>
      </c>
      <c r="E60" s="3">
        <f t="shared" si="0"/>
        <v>24.939999999999827</v>
      </c>
    </row>
    <row r="61" spans="1:5">
      <c r="A61" s="10">
        <v>45975</v>
      </c>
      <c r="B61" s="6" t="s">
        <v>18</v>
      </c>
      <c r="C61" s="3"/>
      <c r="D61" s="3">
        <v>178</v>
      </c>
      <c r="E61" s="3">
        <f t="shared" si="0"/>
        <v>202.93999999999983</v>
      </c>
    </row>
    <row r="62" spans="1:5">
      <c r="A62" s="10">
        <v>46002</v>
      </c>
      <c r="B62" s="6" t="s">
        <v>37</v>
      </c>
      <c r="C62" s="3"/>
      <c r="D62" s="3">
        <v>130</v>
      </c>
      <c r="E62" s="3">
        <f t="shared" si="0"/>
        <v>332.93999999999983</v>
      </c>
    </row>
    <row r="63" spans="1:5">
      <c r="A63" s="10">
        <v>46032</v>
      </c>
      <c r="B63" s="2" t="s">
        <v>83</v>
      </c>
      <c r="C63" s="2" t="s">
        <v>27</v>
      </c>
      <c r="D63" s="3">
        <v>-130</v>
      </c>
      <c r="E63" s="3">
        <f t="shared" si="0"/>
        <v>202.93999999999983</v>
      </c>
    </row>
    <row r="64" spans="1:5">
      <c r="A64" s="10">
        <v>46036</v>
      </c>
      <c r="B64" s="6" t="s">
        <v>38</v>
      </c>
      <c r="C64" s="3"/>
      <c r="D64" s="3">
        <v>213.2</v>
      </c>
      <c r="E64" s="3">
        <f t="shared" si="0"/>
        <v>416.13999999999982</v>
      </c>
    </row>
    <row r="65" spans="1:5">
      <c r="A65" s="10">
        <v>46063</v>
      </c>
      <c r="B65" s="6" t="s">
        <v>15</v>
      </c>
      <c r="C65" s="3"/>
      <c r="D65" s="3">
        <v>52</v>
      </c>
      <c r="E65" s="3">
        <f t="shared" si="0"/>
        <v>468.13999999999982</v>
      </c>
    </row>
    <row r="66" spans="1:5">
      <c r="A66" s="10">
        <v>46110</v>
      </c>
      <c r="B66" s="2" t="s">
        <v>84</v>
      </c>
      <c r="C66" s="2" t="s">
        <v>26</v>
      </c>
      <c r="D66" s="3">
        <v>-52</v>
      </c>
      <c r="E66" s="3">
        <f t="shared" si="0"/>
        <v>416.13999999999982</v>
      </c>
    </row>
    <row r="67" spans="1:5">
      <c r="A67" s="10">
        <v>46110</v>
      </c>
      <c r="B67" s="2" t="s">
        <v>85</v>
      </c>
      <c r="C67" s="2" t="s">
        <v>26</v>
      </c>
      <c r="D67" s="3">
        <v>-208</v>
      </c>
      <c r="E67" s="3">
        <f t="shared" si="0"/>
        <v>208.13999999999982</v>
      </c>
    </row>
    <row r="68" spans="1:5">
      <c r="A68" s="10">
        <v>46136</v>
      </c>
      <c r="B68" s="2" t="s">
        <v>86</v>
      </c>
      <c r="C68" s="2" t="s">
        <v>26</v>
      </c>
      <c r="D68" s="3">
        <v>-191.22</v>
      </c>
      <c r="E68" s="3">
        <f t="shared" ref="E68" si="1">E67+D68</f>
        <v>16.919999999999817</v>
      </c>
    </row>
  </sheetData>
  <sortState xmlns:xlrd2="http://schemas.microsoft.com/office/spreadsheetml/2017/richdata2" ref="A2:D68">
    <sortCondition ref="A2:A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F3A27-83E4-3147-830E-3837BB5C4146}">
  <dimension ref="A2:O55"/>
  <sheetViews>
    <sheetView workbookViewId="0">
      <selection activeCell="B44" sqref="B44"/>
    </sheetView>
  </sheetViews>
  <sheetFormatPr baseColWidth="10" defaultRowHeight="15"/>
  <cols>
    <col min="1" max="1" width="42.6640625" customWidth="1"/>
    <col min="2" max="2" width="17.5" style="1" customWidth="1"/>
    <col min="3" max="3" width="10.83203125" style="1"/>
    <col min="4" max="4" width="11.83203125" style="1" customWidth="1"/>
    <col min="11" max="11" width="30" bestFit="1" customWidth="1"/>
    <col min="12" max="13" width="10.83203125" style="1"/>
  </cols>
  <sheetData>
    <row r="2" spans="1:15">
      <c r="A2" s="2" t="s">
        <v>0</v>
      </c>
      <c r="B2" s="3"/>
      <c r="C2" s="3">
        <v>178</v>
      </c>
      <c r="D2" s="3">
        <v>1455.46</v>
      </c>
      <c r="J2" s="8">
        <v>45658</v>
      </c>
      <c r="K2" s="3"/>
      <c r="L2" s="3" t="s">
        <v>6</v>
      </c>
      <c r="M2" s="3"/>
      <c r="N2" s="3">
        <v>2040.94</v>
      </c>
      <c r="O2" s="1"/>
    </row>
    <row r="3" spans="1:15">
      <c r="A3" s="2" t="s">
        <v>1</v>
      </c>
      <c r="B3" s="3">
        <v>147.46</v>
      </c>
      <c r="C3" s="3"/>
      <c r="D3" s="3">
        <f>D2-B3+C3</f>
        <v>1308</v>
      </c>
      <c r="J3" s="1"/>
      <c r="K3" s="3" t="s">
        <v>7</v>
      </c>
      <c r="L3" s="3">
        <f>B41</f>
        <v>2809.97</v>
      </c>
      <c r="M3" s="3"/>
      <c r="N3" s="3">
        <f>N2-L3+M3</f>
        <v>-769.02999999999975</v>
      </c>
      <c r="O3" s="1"/>
    </row>
    <row r="4" spans="1:15">
      <c r="A4" s="2" t="s">
        <v>1</v>
      </c>
      <c r="B4" s="3">
        <v>7.0000000000000007E-2</v>
      </c>
      <c r="C4" s="3"/>
      <c r="D4" s="3">
        <f t="shared" ref="D4:D22" si="0">D3-B4+C4</f>
        <v>1307.93</v>
      </c>
      <c r="J4" s="1"/>
      <c r="K4" s="3" t="s">
        <v>8</v>
      </c>
      <c r="L4" s="3"/>
      <c r="M4" s="3">
        <v>213.29</v>
      </c>
      <c r="N4" s="3">
        <f t="shared" ref="N4:N22" si="1">N3-L4+M4</f>
        <v>-555.73999999999978</v>
      </c>
      <c r="O4" s="1"/>
    </row>
    <row r="5" spans="1:15">
      <c r="A5" s="2" t="s">
        <v>1</v>
      </c>
      <c r="B5" s="3">
        <v>178</v>
      </c>
      <c r="C5" s="3"/>
      <c r="D5" s="3">
        <f t="shared" si="0"/>
        <v>1129.93</v>
      </c>
      <c r="J5" s="1"/>
      <c r="K5" s="3" t="s">
        <v>9</v>
      </c>
      <c r="L5" s="3"/>
      <c r="M5" s="3">
        <v>104</v>
      </c>
      <c r="N5" s="3">
        <f t="shared" si="1"/>
        <v>-451.73999999999978</v>
      </c>
      <c r="O5" s="1"/>
    </row>
    <row r="6" spans="1:15">
      <c r="A6" s="2" t="s">
        <v>1</v>
      </c>
      <c r="B6" s="3">
        <v>130</v>
      </c>
      <c r="C6" s="3"/>
      <c r="D6" s="3">
        <f t="shared" si="0"/>
        <v>999.93000000000006</v>
      </c>
      <c r="J6" s="1"/>
      <c r="K6" s="3" t="s">
        <v>10</v>
      </c>
      <c r="L6" s="3"/>
      <c r="M6" s="3">
        <v>385.76</v>
      </c>
      <c r="N6" s="3">
        <f t="shared" si="1"/>
        <v>-65.979999999999791</v>
      </c>
      <c r="O6" s="1"/>
    </row>
    <row r="7" spans="1:15">
      <c r="A7" s="2" t="s">
        <v>2</v>
      </c>
      <c r="B7" s="3"/>
      <c r="C7" s="3">
        <v>130</v>
      </c>
      <c r="D7" s="3">
        <f t="shared" si="0"/>
        <v>1129.93</v>
      </c>
      <c r="F7" s="5">
        <f>SUM(B3:B6)</f>
        <v>455.53</v>
      </c>
      <c r="J7" s="1"/>
      <c r="K7" s="3" t="s">
        <v>11</v>
      </c>
      <c r="L7" s="3"/>
      <c r="M7" s="3">
        <v>156</v>
      </c>
      <c r="N7" s="3">
        <f t="shared" si="1"/>
        <v>90.020000000000209</v>
      </c>
      <c r="O7" s="1"/>
    </row>
    <row r="8" spans="1:15">
      <c r="A8" s="2" t="s">
        <v>3</v>
      </c>
      <c r="B8" s="3"/>
      <c r="C8" s="3">
        <v>213.2</v>
      </c>
      <c r="D8" s="3">
        <f t="shared" si="0"/>
        <v>1343.13</v>
      </c>
      <c r="J8" s="1"/>
      <c r="K8" s="3" t="s">
        <v>12</v>
      </c>
      <c r="L8" s="3"/>
      <c r="M8" s="3">
        <v>156</v>
      </c>
      <c r="N8" s="3">
        <f t="shared" si="1"/>
        <v>246.02000000000021</v>
      </c>
      <c r="O8" s="1"/>
    </row>
    <row r="9" spans="1:15">
      <c r="A9" s="2"/>
      <c r="B9" s="3"/>
      <c r="C9" s="3">
        <v>52</v>
      </c>
      <c r="D9" s="3">
        <f t="shared" si="0"/>
        <v>1395.13</v>
      </c>
      <c r="F9">
        <v>1747.17</v>
      </c>
      <c r="G9" s="4">
        <f>F9-D9</f>
        <v>352.03999999999996</v>
      </c>
      <c r="J9" s="1"/>
      <c r="K9" s="3" t="s">
        <v>13</v>
      </c>
      <c r="L9" s="3"/>
      <c r="M9" s="3">
        <v>243</v>
      </c>
      <c r="N9" s="3">
        <f t="shared" si="1"/>
        <v>489.02000000000021</v>
      </c>
      <c r="O9" s="1"/>
    </row>
    <row r="10" spans="1:15">
      <c r="A10" s="2" t="s">
        <v>4</v>
      </c>
      <c r="B10" s="3">
        <v>130</v>
      </c>
      <c r="C10" s="3"/>
      <c r="D10" s="3">
        <f t="shared" si="0"/>
        <v>1265.1300000000001</v>
      </c>
      <c r="J10" s="1"/>
      <c r="K10" s="3" t="s">
        <v>14</v>
      </c>
      <c r="L10" s="3"/>
      <c r="M10" s="3">
        <v>333</v>
      </c>
      <c r="N10" s="3">
        <f t="shared" si="1"/>
        <v>822.02000000000021</v>
      </c>
      <c r="O10" s="1"/>
    </row>
    <row r="11" spans="1:15">
      <c r="A11" s="2" t="s">
        <v>22</v>
      </c>
      <c r="B11" s="3"/>
      <c r="C11" s="3">
        <v>208</v>
      </c>
      <c r="D11" s="3">
        <f t="shared" si="0"/>
        <v>1473.13</v>
      </c>
      <c r="J11" s="1"/>
      <c r="K11" s="6" t="s">
        <v>19</v>
      </c>
      <c r="L11" s="3"/>
      <c r="M11" s="3">
        <v>178</v>
      </c>
      <c r="N11" s="3">
        <f t="shared" si="1"/>
        <v>1000.0200000000002</v>
      </c>
      <c r="O11" s="1"/>
    </row>
    <row r="12" spans="1:15">
      <c r="A12" s="2" t="s">
        <v>23</v>
      </c>
      <c r="B12" s="2">
        <v>208</v>
      </c>
      <c r="C12" s="3"/>
      <c r="D12" s="3">
        <f t="shared" si="0"/>
        <v>1265.1300000000001</v>
      </c>
      <c r="J12" s="1"/>
      <c r="K12" s="6" t="s">
        <v>18</v>
      </c>
      <c r="L12" s="3"/>
      <c r="M12" s="3">
        <v>178</v>
      </c>
      <c r="N12" s="3">
        <f t="shared" si="1"/>
        <v>1178.0200000000002</v>
      </c>
      <c r="O12" s="1"/>
    </row>
    <row r="13" spans="1:15">
      <c r="A13" s="2" t="s">
        <v>23</v>
      </c>
      <c r="B13" s="2">
        <v>52</v>
      </c>
      <c r="C13" s="3"/>
      <c r="D13" s="3">
        <f t="shared" si="0"/>
        <v>1213.1300000000001</v>
      </c>
      <c r="J13" s="1"/>
      <c r="K13" s="6" t="s">
        <v>17</v>
      </c>
      <c r="L13" s="3"/>
      <c r="M13" s="3">
        <v>130</v>
      </c>
      <c r="N13" s="3">
        <f t="shared" si="1"/>
        <v>1308.0200000000002</v>
      </c>
      <c r="O13" s="1"/>
    </row>
    <row r="14" spans="1:15">
      <c r="A14" s="2"/>
      <c r="B14" s="3"/>
      <c r="C14" s="3"/>
      <c r="D14" s="3">
        <f t="shared" si="0"/>
        <v>1213.1300000000001</v>
      </c>
      <c r="K14" s="6" t="s">
        <v>16</v>
      </c>
      <c r="L14" s="3"/>
      <c r="M14" s="3">
        <v>213.2</v>
      </c>
      <c r="N14" s="3">
        <f t="shared" si="1"/>
        <v>1521.2200000000003</v>
      </c>
    </row>
    <row r="15" spans="1:15">
      <c r="A15" s="2"/>
      <c r="B15" s="3"/>
      <c r="C15" s="3"/>
      <c r="D15" s="3">
        <f t="shared" si="0"/>
        <v>1213.1300000000001</v>
      </c>
      <c r="K15" s="6" t="s">
        <v>15</v>
      </c>
      <c r="L15" s="3"/>
      <c r="M15" s="3">
        <v>52</v>
      </c>
      <c r="N15" s="3">
        <f t="shared" si="1"/>
        <v>1573.2200000000003</v>
      </c>
    </row>
    <row r="16" spans="1:15">
      <c r="A16" s="2"/>
      <c r="B16" s="3"/>
      <c r="C16" s="3"/>
      <c r="D16" s="3">
        <f t="shared" si="0"/>
        <v>1213.1300000000001</v>
      </c>
      <c r="K16" s="3" t="s">
        <v>20</v>
      </c>
      <c r="L16" s="3">
        <v>130</v>
      </c>
      <c r="M16" s="3"/>
      <c r="N16" s="3">
        <f t="shared" si="1"/>
        <v>1443.2200000000003</v>
      </c>
    </row>
    <row r="17" spans="1:14">
      <c r="A17" s="2"/>
      <c r="B17" s="3"/>
      <c r="C17" s="3"/>
      <c r="D17" s="3">
        <f t="shared" si="0"/>
        <v>1213.1300000000001</v>
      </c>
      <c r="K17" s="2" t="s">
        <v>22</v>
      </c>
      <c r="L17" s="3"/>
      <c r="M17" s="3">
        <v>208</v>
      </c>
      <c r="N17" s="3">
        <f t="shared" si="1"/>
        <v>1651.2200000000003</v>
      </c>
    </row>
    <row r="18" spans="1:14">
      <c r="A18" s="2"/>
      <c r="B18" s="3"/>
      <c r="C18" s="3"/>
      <c r="D18" s="3">
        <f t="shared" si="0"/>
        <v>1213.1300000000001</v>
      </c>
      <c r="K18" s="2" t="s">
        <v>23</v>
      </c>
      <c r="L18" s="3">
        <v>208</v>
      </c>
      <c r="M18" s="3"/>
      <c r="N18" s="3">
        <f t="shared" si="1"/>
        <v>1443.2200000000003</v>
      </c>
    </row>
    <row r="19" spans="1:14">
      <c r="A19" s="2"/>
      <c r="B19" s="3"/>
      <c r="C19" s="3"/>
      <c r="D19" s="3">
        <f t="shared" si="0"/>
        <v>1213.1300000000001</v>
      </c>
      <c r="K19" s="2" t="s">
        <v>23</v>
      </c>
      <c r="L19" s="3">
        <v>52</v>
      </c>
      <c r="M19" s="3"/>
      <c r="N19" s="3">
        <f t="shared" si="1"/>
        <v>1391.2200000000003</v>
      </c>
    </row>
    <row r="20" spans="1:14">
      <c r="A20" s="2"/>
      <c r="B20" s="3"/>
      <c r="C20" s="3"/>
      <c r="D20" s="3">
        <f t="shared" si="0"/>
        <v>1213.1300000000001</v>
      </c>
      <c r="K20" s="2" t="s">
        <v>25</v>
      </c>
      <c r="L20" s="3">
        <v>191.22</v>
      </c>
      <c r="M20" s="3"/>
      <c r="N20" s="3">
        <f t="shared" si="1"/>
        <v>1200.0000000000002</v>
      </c>
    </row>
    <row r="21" spans="1:14">
      <c r="A21" s="2"/>
      <c r="B21" s="3"/>
      <c r="C21" s="3"/>
      <c r="D21" s="3">
        <f t="shared" si="0"/>
        <v>1213.1300000000001</v>
      </c>
      <c r="K21" s="2"/>
      <c r="L21" s="3"/>
      <c r="M21" s="3"/>
      <c r="N21" s="3">
        <f t="shared" si="1"/>
        <v>1200.0000000000002</v>
      </c>
    </row>
    <row r="22" spans="1:14">
      <c r="A22" s="2"/>
      <c r="B22" s="3"/>
      <c r="C22" s="3"/>
      <c r="D22" s="3">
        <f t="shared" si="0"/>
        <v>1213.1300000000001</v>
      </c>
      <c r="K22" s="2"/>
      <c r="L22" s="3"/>
      <c r="M22" s="3"/>
      <c r="N22" s="3">
        <f t="shared" si="1"/>
        <v>1200.0000000000002</v>
      </c>
    </row>
    <row r="23" spans="1:14">
      <c r="A23" s="2"/>
      <c r="B23" s="3"/>
      <c r="C23" s="3"/>
      <c r="D23" s="3"/>
      <c r="K23" s="2"/>
      <c r="L23" s="3"/>
      <c r="M23" s="3"/>
      <c r="N23" s="2"/>
    </row>
    <row r="24" spans="1:14">
      <c r="A24" s="2"/>
      <c r="B24" s="3"/>
      <c r="C24" s="3"/>
      <c r="D24" s="3"/>
      <c r="K24" s="2"/>
      <c r="L24" s="3"/>
      <c r="M24" s="3"/>
      <c r="N24" s="2"/>
    </row>
    <row r="25" spans="1:14">
      <c r="A25" s="2"/>
      <c r="B25" s="3"/>
      <c r="C25" s="3"/>
      <c r="D25" s="3"/>
      <c r="K25" s="2"/>
      <c r="L25" s="3"/>
      <c r="M25" s="3"/>
      <c r="N25" s="2"/>
    </row>
    <row r="26" spans="1:14">
      <c r="K26" s="2"/>
      <c r="L26" s="3"/>
      <c r="M26" s="3"/>
      <c r="N26" s="2"/>
    </row>
    <row r="29" spans="1:14" ht="16">
      <c r="A29" s="2" t="s">
        <v>5</v>
      </c>
      <c r="B29" s="7">
        <v>277.68</v>
      </c>
      <c r="K29" s="2" t="s">
        <v>21</v>
      </c>
      <c r="L29" s="3"/>
      <c r="M29" s="3"/>
      <c r="N29" s="2">
        <v>1609.06</v>
      </c>
    </row>
    <row r="30" spans="1:14" ht="16">
      <c r="A30" s="2"/>
      <c r="B30" s="7">
        <v>317</v>
      </c>
      <c r="K30" s="2" t="s">
        <v>22</v>
      </c>
      <c r="L30" s="3"/>
      <c r="M30" s="3"/>
      <c r="N30" s="2">
        <v>208</v>
      </c>
    </row>
    <row r="31" spans="1:14" ht="16">
      <c r="A31" s="2"/>
      <c r="B31" s="7">
        <v>385.76</v>
      </c>
      <c r="K31" s="2"/>
      <c r="L31" s="3"/>
      <c r="M31" s="3"/>
      <c r="N31" s="2">
        <f>SUM(N29:N30)</f>
        <v>1817.06</v>
      </c>
    </row>
    <row r="32" spans="1:14" ht="16">
      <c r="A32" s="2"/>
      <c r="B32" s="7">
        <v>286</v>
      </c>
    </row>
    <row r="33" spans="1:15" ht="16">
      <c r="A33" s="2"/>
      <c r="B33" s="7">
        <v>243</v>
      </c>
      <c r="K33" t="s">
        <v>24</v>
      </c>
      <c r="N33">
        <v>130</v>
      </c>
    </row>
    <row r="34" spans="1:15" ht="16">
      <c r="A34" s="2"/>
      <c r="B34" s="7">
        <v>333</v>
      </c>
      <c r="K34" t="s">
        <v>24</v>
      </c>
      <c r="N34">
        <v>208</v>
      </c>
    </row>
    <row r="35" spans="1:15" ht="16">
      <c r="A35" s="2"/>
      <c r="B35" s="7">
        <v>512</v>
      </c>
      <c r="K35" t="s">
        <v>24</v>
      </c>
      <c r="N35">
        <v>52</v>
      </c>
    </row>
    <row r="36" spans="1:15" ht="16">
      <c r="A36" s="2"/>
      <c r="B36" s="7">
        <v>147.46</v>
      </c>
    </row>
    <row r="37" spans="1:15" ht="16">
      <c r="A37" s="2"/>
      <c r="B37" s="7">
        <v>7.0000000000000007E-2</v>
      </c>
    </row>
    <row r="38" spans="1:15" ht="16">
      <c r="A38" s="2"/>
      <c r="B38" s="7">
        <v>178</v>
      </c>
    </row>
    <row r="39" spans="1:15" ht="16">
      <c r="A39" s="2"/>
      <c r="B39" s="7">
        <v>130</v>
      </c>
      <c r="N39" s="1">
        <f>N31-N33-N34-N35</f>
        <v>1427.06</v>
      </c>
      <c r="O39" s="4">
        <f>N39-N22</f>
        <v>227.05999999999972</v>
      </c>
    </row>
    <row r="40" spans="1:15" ht="16">
      <c r="A40" s="2"/>
      <c r="B40" s="7"/>
    </row>
    <row r="41" spans="1:15" ht="16">
      <c r="A41" s="2"/>
      <c r="B41" s="7">
        <v>2809.97</v>
      </c>
    </row>
    <row r="44" spans="1:15">
      <c r="B44" s="3" t="s">
        <v>8</v>
      </c>
      <c r="C44" s="3"/>
      <c r="D44" s="3">
        <v>213.29</v>
      </c>
    </row>
    <row r="45" spans="1:15">
      <c r="B45" s="3" t="s">
        <v>9</v>
      </c>
      <c r="C45" s="3"/>
      <c r="D45" s="3">
        <v>104</v>
      </c>
    </row>
    <row r="46" spans="1:15">
      <c r="B46" s="3" t="s">
        <v>10</v>
      </c>
      <c r="C46" s="3"/>
      <c r="D46" s="3">
        <v>385.76</v>
      </c>
    </row>
    <row r="47" spans="1:15">
      <c r="B47" s="3" t="s">
        <v>11</v>
      </c>
      <c r="C47" s="3"/>
      <c r="D47" s="3">
        <v>156</v>
      </c>
    </row>
    <row r="48" spans="1:15">
      <c r="B48" s="3" t="s">
        <v>12</v>
      </c>
      <c r="C48" s="3"/>
      <c r="D48" s="3">
        <v>156</v>
      </c>
    </row>
    <row r="49" spans="2:4">
      <c r="B49" s="3" t="s">
        <v>13</v>
      </c>
      <c r="C49" s="3"/>
      <c r="D49" s="3">
        <v>243</v>
      </c>
    </row>
    <row r="50" spans="2:4">
      <c r="B50" s="3" t="s">
        <v>14</v>
      </c>
      <c r="C50" s="3"/>
      <c r="D50" s="3">
        <v>333</v>
      </c>
    </row>
    <row r="51" spans="2:4">
      <c r="B51" s="6" t="s">
        <v>19</v>
      </c>
      <c r="C51" s="3"/>
      <c r="D51" s="3">
        <v>178</v>
      </c>
    </row>
    <row r="52" spans="2:4">
      <c r="B52" s="6" t="s">
        <v>18</v>
      </c>
      <c r="C52" s="3"/>
      <c r="D52" s="3">
        <v>178</v>
      </c>
    </row>
    <row r="53" spans="2:4">
      <c r="B53" s="6" t="s">
        <v>17</v>
      </c>
      <c r="C53" s="3"/>
      <c r="D53" s="3">
        <v>130</v>
      </c>
    </row>
    <row r="54" spans="2:4">
      <c r="B54" s="6" t="s">
        <v>16</v>
      </c>
      <c r="C54" s="3"/>
      <c r="D54" s="3">
        <v>213.2</v>
      </c>
    </row>
    <row r="55" spans="2:4">
      <c r="B55" s="6" t="s">
        <v>15</v>
      </c>
      <c r="C55" s="3"/>
      <c r="D55" s="3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5723-7CD7-8A48-8A27-0B7F0FAC042F}">
  <dimension ref="F1:K7"/>
  <sheetViews>
    <sheetView workbookViewId="0">
      <selection activeCell="I17" sqref="I17"/>
    </sheetView>
  </sheetViews>
  <sheetFormatPr baseColWidth="10" defaultRowHeight="15"/>
  <sheetData>
    <row r="1" spans="6:11">
      <c r="F1">
        <v>950</v>
      </c>
      <c r="I1">
        <f>1386</f>
        <v>1386</v>
      </c>
    </row>
    <row r="2" spans="6:11">
      <c r="F2">
        <v>780</v>
      </c>
      <c r="I2">
        <v>-950</v>
      </c>
    </row>
    <row r="3" spans="6:11">
      <c r="F3">
        <v>-1386</v>
      </c>
    </row>
    <row r="6" spans="6:11">
      <c r="I6">
        <f>SUM(I1:I5)</f>
        <v>436</v>
      </c>
      <c r="K6">
        <f>F7+I6</f>
        <v>780</v>
      </c>
    </row>
    <row r="7" spans="6:11">
      <c r="F7">
        <f>SUM(F1:F6)</f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Foglio2</vt:lpstr>
      <vt:lpstr>Foglio1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</dc:creator>
  <cp:lastModifiedBy>Rosario</cp:lastModifiedBy>
  <dcterms:created xsi:type="dcterms:W3CDTF">2026-03-29T19:10:07Z</dcterms:created>
  <dcterms:modified xsi:type="dcterms:W3CDTF">2026-04-29T19:37:40Z</dcterms:modified>
</cp:coreProperties>
</file>